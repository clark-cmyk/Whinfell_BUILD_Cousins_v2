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rket Input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164" fontId="5" fillId="0" borderId="0" pivotButton="0" quotePrefix="0" xfId="0"/>
    <xf numFmtId="0" fontId="7" fillId="0" borderId="0" pivotButton="0" quotePrefix="0" xfId="0"/>
    <xf numFmtId="1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10" fontId="4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4" customWidth="1" min="4" max="4"/>
    <col width="14" customWidth="1" min="5" max="5"/>
    <col width="42" customWidth="1" min="6" max="6"/>
  </cols>
  <sheetData>
    <row r="1">
      <c r="B1" s="1" t="inlineStr">
        <is>
          <t>Whinfell Credit Confirmation Score — Fallback Dashboard</t>
        </is>
      </c>
    </row>
    <row r="2">
      <c r="B2" s="2" t="inlineStr">
        <is>
          <t>Source: C1 v1.0 (Approved) | Update signals daily from market data</t>
        </is>
      </c>
    </row>
    <row r="4">
      <c r="A4" s="3" t="inlineStr">
        <is>
          <t>#</t>
        </is>
      </c>
      <c r="B4" s="3" t="inlineStr">
        <is>
          <t>Component</t>
        </is>
      </c>
      <c r="C4" s="3" t="inlineStr">
        <is>
          <t>Weight</t>
        </is>
      </c>
      <c r="D4" s="3" t="inlineStr">
        <is>
          <t>Signal</t>
        </is>
      </c>
      <c r="E4" s="3" t="inlineStr">
        <is>
          <t>Points</t>
        </is>
      </c>
      <c r="F4" s="3" t="inlineStr">
        <is>
          <t>Notes</t>
        </is>
      </c>
    </row>
    <row r="5">
      <c r="A5" s="4" t="n">
        <v>1</v>
      </c>
      <c r="B5" s="5" t="inlineStr">
        <is>
          <t>HY spread trend (5D + 20D)</t>
        </is>
      </c>
      <c r="C5" s="6" t="n">
        <v>0.25</v>
      </c>
      <c r="D5" s="7" t="inlineStr">
        <is>
          <t>Mixed (Bull)</t>
        </is>
      </c>
      <c r="E5" s="8">
        <f>IF(D5="Bullish",C5*100,IF(D5="Bearish",-C5*100,IF(D5="Mixed (Bull)",C5*50,IF(D5="Mixed (Bear)",-C5*50,0))))</f>
        <v/>
      </c>
      <c r="F5" s="5" t="inlineStr"/>
    </row>
    <row r="6">
      <c r="A6" s="4" t="n">
        <v>2</v>
      </c>
      <c r="B6" s="5" t="inlineStr">
        <is>
          <t>IG spread trend (5D + 20D)</t>
        </is>
      </c>
      <c r="C6" s="6" t="n">
        <v>0.15</v>
      </c>
      <c r="D6" s="7" t="inlineStr">
        <is>
          <t>Mixed (Bull)</t>
        </is>
      </c>
      <c r="E6" s="8">
        <f>IF(D6="Bullish",C6*100,IF(D6="Bearish",-C6*100,IF(D6="Mixed (Bull)",C6*50,IF(D6="Mixed (Bear)",-C6*50,0))))</f>
        <v/>
      </c>
      <c r="F6" s="5" t="inlineStr"/>
    </row>
    <row r="7">
      <c r="A7" s="4" t="n">
        <v>3</v>
      </c>
      <c r="B7" s="5" t="inlineStr">
        <is>
          <t>HY minus IG differential</t>
        </is>
      </c>
      <c r="C7" s="6" t="n">
        <v>0.1</v>
      </c>
      <c r="D7" s="7" t="inlineStr">
        <is>
          <t>Neutral</t>
        </is>
      </c>
      <c r="E7" s="8">
        <f>IF(D7="Bullish",C7*100,IF(D7="Bearish",-C7*100,IF(D7="Mixed (Bull)",C7*50,IF(D7="Mixed (Bear)",-C7*50,0))))</f>
        <v/>
      </c>
      <c r="F7" s="5" t="inlineStr"/>
    </row>
    <row r="8">
      <c r="A8" s="4" t="n">
        <v>4</v>
      </c>
      <c r="B8" s="5" t="inlineStr">
        <is>
          <t>HYG / LQD ratio</t>
        </is>
      </c>
      <c r="C8" s="6" t="n">
        <v>0.1</v>
      </c>
      <c r="D8" s="7" t="inlineStr">
        <is>
          <t>Neutral</t>
        </is>
      </c>
      <c r="E8" s="8">
        <f>IF(D8="Bullish",C8*100,IF(D8="Bearish",-C8*100,IF(D8="Mixed (Bull)",C8*50,IF(D8="Mixed (Bear)",-C8*50,0))))</f>
        <v/>
      </c>
      <c r="F8" s="5" t="inlineStr"/>
    </row>
    <row r="9">
      <c r="A9" s="4" t="n">
        <v>5</v>
      </c>
      <c r="B9" s="5" t="inlineStr">
        <is>
          <t>Financials vs Defensives (XLF)</t>
        </is>
      </c>
      <c r="C9" s="6" t="n">
        <v>0.1</v>
      </c>
      <c r="D9" s="7" t="inlineStr">
        <is>
          <t>Mixed (Bear)</t>
        </is>
      </c>
      <c r="E9" s="8">
        <f>IF(D9="Bullish",C9*100,IF(D9="Bearish",-C9*100,IF(D9="Mixed (Bull)",C9*50,IF(D9="Mixed (Bear)",-C9*50,0))))</f>
        <v/>
      </c>
      <c r="F9" s="5" t="inlineStr"/>
    </row>
    <row r="10">
      <c r="A10" s="4" t="n">
        <v>6</v>
      </c>
      <c r="B10" s="5" t="inlineStr">
        <is>
          <t>2s10s + 3m10y curve impulse</t>
        </is>
      </c>
      <c r="C10" s="6" t="n">
        <v>0.1</v>
      </c>
      <c r="D10" s="7" t="inlineStr">
        <is>
          <t>Neutral</t>
        </is>
      </c>
      <c r="E10" s="8">
        <f>IF(D10="Bullish",C10*100,IF(D10="Bearish",-C10*100,IF(D10="Mixed (Bull)",C10*50,IF(D10="Mixed (Bear)",-C10*50,0))))</f>
        <v/>
      </c>
      <c r="F10" s="5" t="inlineStr"/>
    </row>
    <row r="11">
      <c r="A11" s="4" t="n">
        <v>7</v>
      </c>
      <c r="B11" s="5" t="inlineStr">
        <is>
          <t>Equity breadth confirmation</t>
        </is>
      </c>
      <c r="C11" s="6" t="n">
        <v>0.1</v>
      </c>
      <c r="D11" s="7" t="inlineStr">
        <is>
          <t>Mixed (Bear)</t>
        </is>
      </c>
      <c r="E11" s="8">
        <f>IF(D11="Bullish",C11*100,IF(D11="Bearish",-C11*100,IF(D11="Mixed (Bull)",C11*50,IF(D11="Mixed (Bear)",-C11*50,0))))</f>
        <v/>
      </c>
      <c r="F11" s="5" t="inlineStr"/>
    </row>
    <row r="12">
      <c r="A12" s="4" t="n">
        <v>8</v>
      </c>
      <c r="B12" s="5" t="inlineStr">
        <is>
          <t>BTC / High-beta (IBIT)</t>
        </is>
      </c>
      <c r="C12" s="6" t="n">
        <v>0.1</v>
      </c>
      <c r="D12" s="7" t="inlineStr">
        <is>
          <t>Mixed (Bear)</t>
        </is>
      </c>
      <c r="E12" s="8">
        <f>IF(D12="Bullish",C12*100,IF(D12="Bearish",-C12*100,IF(D12="Mixed (Bull)",C12*50,IF(D12="Mixed (Bear)",-C12*50,0))))</f>
        <v/>
      </c>
      <c r="F12" s="5" t="inlineStr"/>
    </row>
    <row r="14">
      <c r="B14" s="9" t="inlineStr">
        <is>
          <t>Base Score</t>
        </is>
      </c>
      <c r="E14" s="10" t="n">
        <v>50</v>
      </c>
    </row>
    <row r="15">
      <c r="B15" s="9" t="inlineStr">
        <is>
          <t>Component Total</t>
        </is>
      </c>
      <c r="E15" s="11">
        <f>SUM(E5:E12)</f>
        <v/>
      </c>
    </row>
    <row r="16">
      <c r="B16" s="9" t="inlineStr">
        <is>
          <t>Raw Score</t>
        </is>
      </c>
      <c r="E16" s="11">
        <f>E14+E15</f>
        <v/>
      </c>
    </row>
    <row r="17">
      <c r="B17" s="12" t="inlineStr">
        <is>
          <t>FINAL SCORE (0–100)</t>
        </is>
      </c>
      <c r="E17" s="13">
        <f>MAX(0,MIN(100,E16))</f>
        <v/>
      </c>
    </row>
    <row r="19">
      <c r="B19" s="14" t="inlineStr">
        <is>
          <t>Zone</t>
        </is>
      </c>
      <c r="C19" s="14" t="inlineStr">
        <is>
          <t>Color</t>
        </is>
      </c>
      <c r="D19" s="14" t="inlineStr">
        <is>
          <t>Band</t>
        </is>
      </c>
      <c r="E19" s="14" t="inlineStr">
        <is>
          <t>Positioning Guidance</t>
        </is>
      </c>
    </row>
    <row r="20">
      <c r="B20" s="15">
        <f>IF(E17&gt;=80,"Strong Confirmation",IF(E17&gt;=65,"Constructive",IF(E17&gt;=45,"Mixed / Fragile",IF(E17&gt;=25,"Impaired","Hard Risk-Off"))))</f>
        <v/>
      </c>
      <c r="C20" s="15">
        <f>IF(E17&gt;=80,"Green",IF(E17&gt;=65,"Amber",IF(E17&gt;=45,"Amber",IF(E17&gt;=25,"Red","Red"))))</f>
        <v/>
      </c>
      <c r="D20" s="15">
        <f>IF(E17&gt;=80,"80–100",IF(E17&gt;=65,"65–79",IF(E17&gt;=45,"45–64",IF(E17&gt;=25,"25–44","0–24"))))</f>
        <v/>
      </c>
      <c r="E20" s="16">
        <f>IF(E17&gt;=80,"Full gross allowed. Aggressive Client + Outright Basis.",IF(E17&gt;=65,"Selective adds. Prefer Client Basis over Outright.",IF(E17&gt;=45,"Light gross. Fade weak follow-through. Prefer Client Basis.",IF(E17&gt;=25,"Reduce beta exposure. Favor hedges and relative value.","Defensive posture only."))))</f>
        <v/>
      </c>
    </row>
    <row r="22">
      <c r="B22" s="14" t="inlineStr">
        <is>
          <t>Basis Trade Readiness</t>
        </is>
      </c>
    </row>
    <row r="23">
      <c r="B23" s="9" t="inlineStr">
        <is>
          <t>Client Basis Trades</t>
        </is>
      </c>
      <c r="C23" s="15">
        <f>IF(E17&gt;=45,"✓ Favored","✗ Avoid")</f>
        <v/>
      </c>
    </row>
    <row r="24">
      <c r="B24" s="9" t="inlineStr">
        <is>
          <t>Outright Basis Trades</t>
        </is>
      </c>
      <c r="C24" s="15">
        <f>IF(E17&gt;=65,"✓ Allowed","✗ Avoid")</f>
        <v/>
      </c>
    </row>
    <row r="25">
      <c r="B25" s="9" t="inlineStr">
        <is>
          <t>Aggressive Gross</t>
        </is>
      </c>
      <c r="C25" s="15">
        <f>IF(E17&gt;=80,"✓ Full gross","✗ Limited")</f>
        <v/>
      </c>
    </row>
  </sheetData>
  <mergeCells count="5">
    <mergeCell ref="E20:F20"/>
    <mergeCell ref="B2:F2"/>
    <mergeCell ref="E19:F19"/>
    <mergeCell ref="B22:F22"/>
    <mergeCell ref="B1:F1"/>
  </mergeCells>
  <dataValidations count="1">
    <dataValidation sqref="D5 D6 D7 D8 D9 D10 D11 D12" showDropDown="0" showInputMessage="0" showErrorMessage="0" allowBlank="0" type="list">
      <formula1>"Bullish,Bearish,Mixed (Bull),Mixed (Bear),Neutral"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0" customWidth="1" min="4" max="4"/>
  </cols>
  <sheetData>
    <row r="1">
      <c r="A1" s="1" t="inlineStr">
        <is>
          <t>Observable Market Data (Blue = user input)</t>
        </is>
      </c>
    </row>
    <row r="3">
      <c r="A3" s="17" t="inlineStr">
        <is>
          <t>Ticker / Field</t>
        </is>
      </c>
      <c r="B3" s="17" t="inlineStr">
        <is>
          <t>1D %</t>
        </is>
      </c>
      <c r="C3" s="17" t="inlineStr">
        <is>
          <t>5D %</t>
        </is>
      </c>
      <c r="D3" s="17" t="inlineStr">
        <is>
          <t>Source / Notes</t>
        </is>
      </c>
    </row>
    <row r="4">
      <c r="A4" t="inlineStr">
        <is>
          <t>HYG</t>
        </is>
      </c>
      <c r="B4" s="18" t="n">
        <v>0.0004</v>
      </c>
      <c r="C4" s="18" t="n">
        <v>0.0019</v>
      </c>
      <c r="D4" s="9" t="inlineStr">
        <is>
          <t>HY spread proxy — Source: Comet dashboard 6/26/2026</t>
        </is>
      </c>
    </row>
    <row r="5">
      <c r="A5" t="inlineStr">
        <is>
          <t>LQD</t>
        </is>
      </c>
      <c r="B5" s="18" t="n">
        <v>0.0008</v>
      </c>
      <c r="C5" s="18" t="n">
        <v>0.0067</v>
      </c>
      <c r="D5" s="9" t="inlineStr">
        <is>
          <t>IG spread proxy</t>
        </is>
      </c>
    </row>
    <row r="6">
      <c r="A6" t="inlineStr">
        <is>
          <t>XLF</t>
        </is>
      </c>
      <c r="B6" s="18" t="n">
        <v>-0.005</v>
      </c>
      <c r="C6" s="18" t="n">
        <v>-0.0111</v>
      </c>
      <c r="D6" s="9" t="inlineStr">
        <is>
          <t>Financials vs defensives</t>
        </is>
      </c>
    </row>
    <row r="7">
      <c r="A7" t="inlineStr">
        <is>
          <t>SPY</t>
        </is>
      </c>
      <c r="B7" s="18" t="n">
        <v>0.0014</v>
      </c>
      <c r="C7" s="18" t="inlineStr"/>
      <c r="D7" s="9" t="inlineStr">
        <is>
          <t>Equity benchmark</t>
        </is>
      </c>
    </row>
    <row r="8">
      <c r="A8" t="inlineStr">
        <is>
          <t>IBIT</t>
        </is>
      </c>
      <c r="B8" s="18" t="n">
        <v>-0.0103</v>
      </c>
      <c r="C8" s="18" t="inlineStr"/>
      <c r="D8" s="9" t="inlineStr">
        <is>
          <t>BTC / high-beta</t>
        </is>
      </c>
    </row>
    <row r="10">
      <c r="A10" s="2" t="inlineStr">
        <is>
          <t>Use these values to inform Signal selections on Dashboard tab.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9" t="inlineStr">
        <is>
          <t>HOW TO UPDATE DAILY (&lt; 2 minutes)</t>
        </is>
      </c>
    </row>
    <row r="2">
      <c r="A2" s="20" t="inlineStr"/>
    </row>
    <row r="3">
      <c r="A3" s="20" t="inlineStr">
        <is>
          <t>1. Open the Market Inputs tab and enter latest 1D% and 5D% for HYG, LQD, XLF, SPY, IBIT.</t>
        </is>
      </c>
    </row>
    <row r="4">
      <c r="A4" s="20" t="inlineStr">
        <is>
          <t>2. On the Dashboard tab, set each component Signal (Bullish / Bearish / Mixed / Neutral) per C1 logic.</t>
        </is>
      </c>
    </row>
    <row r="5">
      <c r="A5" s="20" t="inlineStr">
        <is>
          <t>3. Final Score and interpretation update automatically.</t>
        </is>
      </c>
    </row>
    <row r="6">
      <c r="A6" s="20" t="inlineStr">
        <is>
          <t>4. Check Basis Trade Readiness section for Client Basis vs Outright Basis guidance.</t>
        </is>
      </c>
    </row>
    <row r="7">
      <c r="A7" s="20" t="inlineStr"/>
    </row>
    <row r="8">
      <c r="A8" s="20" t="inlineStr">
        <is>
          <t>Signal Guide (from C1 v1.0):</t>
        </is>
      </c>
    </row>
    <row r="9">
      <c r="A9" s="20" t="inlineStr">
        <is>
          <t xml:space="preserve">  • Bullish = full positive weight</t>
        </is>
      </c>
    </row>
    <row r="10">
      <c r="A10" s="20" t="inlineStr">
        <is>
          <t xml:space="preserve">  • Bearish = full negative weight</t>
        </is>
      </c>
    </row>
    <row r="11">
      <c r="A11" s="20" t="inlineStr">
        <is>
          <t xml:space="preserve">  • Mixed (Bull) = half positive weight</t>
        </is>
      </c>
    </row>
    <row r="12">
      <c r="A12" s="20" t="inlineStr">
        <is>
          <t xml:space="preserve">  • Mixed (Bear) = half negative weight</t>
        </is>
      </c>
    </row>
    <row r="13">
      <c r="A13" s="20" t="inlineStr">
        <is>
          <t xml:space="preserve">  • Neutral = 0 points</t>
        </is>
      </c>
    </row>
    <row r="14">
      <c r="A14" s="20" t="inlineStr"/>
    </row>
    <row r="15">
      <c r="A15" s="20" t="inlineStr">
        <is>
          <t>Formula: Score = CLAMP(50 + sum of component points, 0, 100)</t>
        </is>
      </c>
    </row>
    <row r="16">
      <c r="A16" s="20" t="inlineStr"/>
    </row>
    <row r="17">
      <c r="A17" s="20" t="inlineStr">
        <is>
          <t>Reference: 04_Score_Calculation/Whinfell_Credit_Confirmation_Score_Logic.md</t>
        </is>
      </c>
    </row>
    <row r="18">
      <c r="A18" s="20" t="inlineStr">
        <is>
          <t>Pre-loaded example matches June 26, 2026 dashboard (manual score = 55).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2026-06-26T05:37:18Z</dcterms:created>
  <dcterms:modified xsi:type="dcterms:W3CDTF">2026-06-26T05:37:18Z</dcterms:modified>
</cp:coreProperties>
</file>